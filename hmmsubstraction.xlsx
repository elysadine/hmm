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H:\THESE - ELYSA\VALIDATION DIDACTIQUE\"/>
    </mc:Choice>
  </mc:AlternateContent>
  <xr:revisionPtr revIDLastSave="0" documentId="13_ncr:1_{21DB60D8-0212-4059-BB36-77B9FC439A6C}" xr6:coauthVersionLast="36" xr6:coauthVersionMax="36" xr10:uidLastSave="{00000000-0000-0000-0000-000000000000}"/>
  <bookViews>
    <workbookView xWindow="0" yWindow="0" windowWidth="23040" windowHeight="9060" activeTab="2" xr2:uid="{00000000-000D-0000-FFFF-FFFF00000000}"/>
  </bookViews>
  <sheets>
    <sheet name="Observation_TaRL" sheetId="5" r:id="rId1"/>
    <sheet name="Résultats_des_élèves" sheetId="6" r:id="rId2"/>
    <sheet name="Entretien_Eleve" sheetId="3" r:id="rId3"/>
    <sheet name="Entretien_Enseignant" sheetId="4" r:id="rId4"/>
  </sheets>
  <calcPr calcId="179021"/>
</workbook>
</file>

<file path=xl/calcChain.xml><?xml version="1.0" encoding="utf-8"?>
<calcChain xmlns="http://schemas.openxmlformats.org/spreadsheetml/2006/main">
  <c r="L10" i="6" l="1"/>
  <c r="M10" i="6"/>
  <c r="N10" i="6"/>
  <c r="O10" i="6"/>
  <c r="P10" i="6"/>
  <c r="K10" i="6"/>
  <c r="K8" i="6"/>
  <c r="K4" i="6"/>
  <c r="L4" i="6"/>
  <c r="M4" i="6"/>
  <c r="N4" i="6"/>
  <c r="O4" i="6"/>
  <c r="P4" i="6"/>
  <c r="K5" i="6"/>
  <c r="L5" i="6"/>
  <c r="M5" i="6"/>
  <c r="N5" i="6"/>
  <c r="O5" i="6"/>
  <c r="P5" i="6"/>
  <c r="K6" i="6"/>
  <c r="L6" i="6"/>
  <c r="M6" i="6"/>
  <c r="N6" i="6"/>
  <c r="O6" i="6"/>
  <c r="P6" i="6"/>
  <c r="K7" i="6"/>
  <c r="L7" i="6"/>
  <c r="M7" i="6"/>
  <c r="N7" i="6"/>
  <c r="O7" i="6"/>
  <c r="P7" i="6"/>
  <c r="L8" i="6"/>
  <c r="M8" i="6"/>
  <c r="N8" i="6"/>
  <c r="O8" i="6"/>
  <c r="P8" i="6"/>
  <c r="P3" i="6"/>
  <c r="O3" i="6"/>
  <c r="N3" i="6"/>
  <c r="M3" i="6"/>
  <c r="L3" i="6"/>
  <c r="K3" i="6"/>
  <c r="L9" i="6" l="1"/>
  <c r="P9" i="6"/>
  <c r="N9" i="6"/>
  <c r="K9" i="6"/>
  <c r="O9" i="6"/>
  <c r="M9" i="6"/>
</calcChain>
</file>

<file path=xl/sharedStrings.xml><?xml version="1.0" encoding="utf-8"?>
<sst xmlns="http://schemas.openxmlformats.org/spreadsheetml/2006/main" count="171" uniqueCount="101">
  <si>
    <t>Dimension</t>
  </si>
  <si>
    <t>Indicateurs</t>
  </si>
  <si>
    <t>Niveau 0</t>
  </si>
  <si>
    <t>Niveau 1</t>
  </si>
  <si>
    <t>Niveau 2</t>
  </si>
  <si>
    <t>Clarté</t>
  </si>
  <si>
    <t>Langue, reformulations, exemples</t>
  </si>
  <si>
    <t>Adaptation</t>
  </si>
  <si>
    <t>Différenciation selon les niveaux</t>
  </si>
  <si>
    <t>Erreur</t>
  </si>
  <si>
    <t>Statut accordé à l'erreur</t>
  </si>
  <si>
    <t>Registres</t>
  </si>
  <si>
    <t>Symbolique, verbal, concret, iconique</t>
  </si>
  <si>
    <t>Interactions</t>
  </si>
  <si>
    <t>Débats autour des procédures</t>
  </si>
  <si>
    <t>ID Élève</t>
  </si>
  <si>
    <t>Opération</t>
  </si>
  <si>
    <t>Technique (T1-T5)</t>
  </si>
  <si>
    <t>Type d'erreur (E1-E4)</t>
  </si>
  <si>
    <t>Action directe (pensée à voix haute)</t>
  </si>
  <si>
    <t>ID Enseignant</t>
  </si>
  <si>
    <t>Ancienneté TaRL</t>
  </si>
  <si>
    <t>Avantages TaRL</t>
  </si>
  <si>
    <t>Difficultés rencontrées</t>
  </si>
  <si>
    <t>Difficulté élèves 3e année</t>
  </si>
  <si>
    <t>Technique privilégiée</t>
  </si>
  <si>
    <t>Gestion erreur petit-moins-grand</t>
  </si>
  <si>
    <t>Explication des erreurs</t>
  </si>
  <si>
    <t>Conceptions/ Remarques</t>
  </si>
  <si>
    <t>ID</t>
  </si>
  <si>
    <t>Age</t>
  </si>
  <si>
    <t>Classe</t>
  </si>
  <si>
    <r>
      <t xml:space="preserve">   58
-
   </t>
    </r>
    <r>
      <rPr>
        <u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
</t>
    </r>
  </si>
  <si>
    <r>
      <t xml:space="preserve">   64
-
   </t>
    </r>
    <r>
      <rPr>
        <u/>
        <sz val="11"/>
        <color theme="1"/>
        <rFont val="Calibri"/>
        <family val="2"/>
        <scheme val="minor"/>
      </rPr>
      <t>32</t>
    </r>
    <r>
      <rPr>
        <sz val="11"/>
        <color theme="1"/>
        <rFont val="Calibri"/>
        <family val="2"/>
        <scheme val="minor"/>
      </rPr>
      <t xml:space="preserve">
</t>
    </r>
  </si>
  <si>
    <r>
      <t xml:space="preserve">   328
-
   </t>
    </r>
    <r>
      <rPr>
        <u/>
        <sz val="11"/>
        <color theme="1"/>
        <rFont val="Calibri"/>
        <family val="2"/>
        <scheme val="minor"/>
      </rPr>
      <t>115</t>
    </r>
    <r>
      <rPr>
        <sz val="11"/>
        <color theme="1"/>
        <rFont val="Calibri"/>
        <family val="2"/>
        <scheme val="minor"/>
      </rPr>
      <t xml:space="preserve">
</t>
    </r>
  </si>
  <si>
    <r>
      <t xml:space="preserve">   42
-
   </t>
    </r>
    <r>
      <rPr>
        <u/>
        <sz val="11"/>
        <color theme="1"/>
        <rFont val="Calibri"/>
        <family val="2"/>
        <scheme val="minor"/>
      </rPr>
      <t>17</t>
    </r>
    <r>
      <rPr>
        <sz val="11"/>
        <color theme="1"/>
        <rFont val="Calibri"/>
        <family val="2"/>
        <scheme val="minor"/>
      </rPr>
      <t xml:space="preserve">
</t>
    </r>
  </si>
  <si>
    <r>
      <t xml:space="preserve">   71
-
   </t>
    </r>
    <r>
      <rPr>
        <u/>
        <sz val="11"/>
        <color theme="1"/>
        <rFont val="Calibri"/>
        <family val="2"/>
        <scheme val="minor"/>
      </rPr>
      <t>38</t>
    </r>
    <r>
      <rPr>
        <sz val="11"/>
        <color theme="1"/>
        <rFont val="Calibri"/>
        <family val="2"/>
        <scheme val="minor"/>
      </rPr>
      <t xml:space="preserve">
</t>
    </r>
  </si>
  <si>
    <r>
      <t xml:space="preserve">   402
-
   </t>
    </r>
    <r>
      <rPr>
        <u/>
        <sz val="11"/>
        <color theme="1"/>
        <rFont val="Calibri"/>
        <family val="2"/>
        <scheme val="minor"/>
      </rPr>
      <t>187</t>
    </r>
    <r>
      <rPr>
        <sz val="11"/>
        <color theme="1"/>
        <rFont val="Calibri"/>
        <family val="2"/>
        <scheme val="minor"/>
      </rPr>
      <t xml:space="preserve">
</t>
    </r>
  </si>
  <si>
    <t>Résultats</t>
  </si>
  <si>
    <r>
      <t xml:space="preserve">   58
-
   </t>
    </r>
    <r>
      <rPr>
        <u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
   35</t>
    </r>
  </si>
  <si>
    <r>
      <t xml:space="preserve">   64
-
   </t>
    </r>
    <r>
      <rPr>
        <u/>
        <sz val="11"/>
        <color theme="1"/>
        <rFont val="Calibri"/>
        <family val="2"/>
        <scheme val="minor"/>
      </rPr>
      <t>32</t>
    </r>
    <r>
      <rPr>
        <sz val="11"/>
        <color theme="1"/>
        <rFont val="Calibri"/>
        <family val="2"/>
        <scheme val="minor"/>
      </rPr>
      <t xml:space="preserve">
   32</t>
    </r>
  </si>
  <si>
    <r>
      <t xml:space="preserve">   328
-
   </t>
    </r>
    <r>
      <rPr>
        <u/>
        <sz val="11"/>
        <color theme="1"/>
        <rFont val="Calibri"/>
        <family val="2"/>
        <scheme val="minor"/>
      </rPr>
      <t>115</t>
    </r>
    <r>
      <rPr>
        <sz val="11"/>
        <color theme="1"/>
        <rFont val="Calibri"/>
        <family val="2"/>
        <scheme val="minor"/>
      </rPr>
      <t xml:space="preserve">
   213</t>
    </r>
  </si>
  <si>
    <r>
      <t xml:space="preserve">   42
-
   </t>
    </r>
    <r>
      <rPr>
        <u/>
        <sz val="11"/>
        <color theme="1"/>
        <rFont val="Calibri"/>
        <family val="2"/>
        <scheme val="minor"/>
      </rPr>
      <t>17</t>
    </r>
    <r>
      <rPr>
        <sz val="11"/>
        <color theme="1"/>
        <rFont val="Calibri"/>
        <family val="2"/>
        <scheme val="minor"/>
      </rPr>
      <t xml:space="preserve">
   25</t>
    </r>
  </si>
  <si>
    <r>
      <t xml:space="preserve">   71
-
   </t>
    </r>
    <r>
      <rPr>
        <u/>
        <sz val="11"/>
        <color theme="1"/>
        <rFont val="Calibri"/>
        <family val="2"/>
        <scheme val="minor"/>
      </rPr>
      <t>38</t>
    </r>
    <r>
      <rPr>
        <sz val="11"/>
        <color theme="1"/>
        <rFont val="Calibri"/>
        <family val="2"/>
        <scheme val="minor"/>
      </rPr>
      <t xml:space="preserve">
   33</t>
    </r>
  </si>
  <si>
    <r>
      <t xml:space="preserve">   402
-
   </t>
    </r>
    <r>
      <rPr>
        <u/>
        <sz val="11"/>
        <color theme="1"/>
        <rFont val="Calibri"/>
        <family val="2"/>
        <scheme val="minor"/>
      </rPr>
      <t>187</t>
    </r>
    <r>
      <rPr>
        <sz val="11"/>
        <color theme="1"/>
        <rFont val="Calibri"/>
        <family val="2"/>
        <scheme val="minor"/>
      </rPr>
      <t xml:space="preserve">
   215</t>
    </r>
  </si>
  <si>
    <t>Genre</t>
  </si>
  <si>
    <t>T3</t>
  </si>
  <si>
    <t>T1</t>
  </si>
  <si>
    <t>T2</t>
  </si>
  <si>
    <t>Garçon</t>
  </si>
  <si>
    <t>Fille</t>
  </si>
  <si>
    <t>11 ans</t>
  </si>
  <si>
    <t>12 ans</t>
  </si>
  <si>
    <t>13 ans</t>
  </si>
  <si>
    <t>8 ans</t>
  </si>
  <si>
    <t>TOTAL</t>
  </si>
  <si>
    <t>Soustraction posée sans rétenue</t>
  </si>
  <si>
    <t>Soustraction posée avec rétenue</t>
  </si>
  <si>
    <t>ENS1</t>
  </si>
  <si>
    <t>ENS2</t>
  </si>
  <si>
    <t>7ans</t>
  </si>
  <si>
    <t>Facile à transmettre aux élèves
Très ludique</t>
  </si>
  <si>
    <t>Ecole à double vacation
Assuidité des élèves</t>
  </si>
  <si>
    <t>Bilinguisme
Situation familiale</t>
  </si>
  <si>
    <t>Technique de cassage</t>
  </si>
  <si>
    <t>Remontrer</t>
  </si>
  <si>
    <t>Explication non comprise dès le début
Les élèves s'habituent à l'addition</t>
  </si>
  <si>
    <t>Facile pour l'enseignant à transmettre
Facile pour les élèves</t>
  </si>
  <si>
    <t>Il y a des élèves qui sont absents</t>
  </si>
  <si>
    <t>Bilinguisme
Problème de retenue surtout pour la soustraction des nombres des trois chiffres</t>
  </si>
  <si>
    <t>Technique d'emprunt et de retour</t>
  </si>
  <si>
    <t>Les élèves facilitent les choses
Toujours penser qu'en soustraction on fait : "grand moins petit"</t>
  </si>
  <si>
    <t>Analyse des productions écrites des élèves</t>
  </si>
  <si>
    <t>T5</t>
  </si>
  <si>
    <t>EL1</t>
  </si>
  <si>
    <t>EL2</t>
  </si>
  <si>
    <t>EL3</t>
  </si>
  <si>
    <t>EL4</t>
  </si>
  <si>
    <t>EL5</t>
  </si>
  <si>
    <t>EL6</t>
  </si>
  <si>
    <t>42-17 = 05</t>
  </si>
  <si>
    <t>71-38=47</t>
  </si>
  <si>
    <t>71-38=43</t>
  </si>
  <si>
    <t>"je fais deux moins sept est égal à cinq puis quatre moins un est égal à zéro"</t>
  </si>
  <si>
    <t>"un moins huit, je ne peux pas le faire, donc j'emprunts un et je retourne un. Onze moins huit est égale à trois, puis sept moins trois est égale à quatre"</t>
  </si>
  <si>
    <t>402-187=205</t>
  </si>
  <si>
    <t>"deux moins sept je ne peux pas,j'emprunts un et je retour un (il à mis le un retourné à côté de un de la centaine), puis douze moins sept est égale à cinq. Zéro moins huit est égale à zero, puis quatre moins deux est égale à deux"</t>
  </si>
  <si>
    <t>Est-ce que c'est vrai le deux moins sept est égale à cinq? "Oui c'est vrai"</t>
  </si>
  <si>
    <t>E3</t>
  </si>
  <si>
    <t>E2</t>
  </si>
  <si>
    <t>Pourquoi tu as mis le un retourné avec la centaine? "c'est par ce que j'ai emprunté un et je dois retourné un ici en bas"</t>
  </si>
  <si>
    <t>402-187=285</t>
  </si>
  <si>
    <t>"deux moins sept je ne peux pas,j'emprunts un et je retour un (il à mis le un retourné à côté de un de la centaine), puis douze moins sept est égale à cinq. Zéro moins huit est égale à huit, puis quatre moins deux est égale à deux"</t>
  </si>
  <si>
    <t>402-187=305</t>
  </si>
  <si>
    <t>"un moins huit est égale à sept. Sept moins trois est égale à 4"</t>
  </si>
  <si>
    <t>Est-ce que c'est vrai le un moins huit est égale à sept? "Oui c'est vrai"</t>
  </si>
  <si>
    <t>"deux moins sept est égale à cinq. Zéro moins huit est égale à zéro, puis quatre moins un est égale à trois"</t>
  </si>
  <si>
    <t>71-38=143</t>
  </si>
  <si>
    <t>"un moins huit, je ne peux pas le faire, donc j'emprunts un et je retourne un (il a mis en haut à côté de sept le un), puis onze moins huit est égale à trois, après dix-sept moins trois est égale à quatorze"</t>
  </si>
  <si>
    <t>402-187=125</t>
  </si>
  <si>
    <t>"deux moins sept je ne peux pas,j'emprunts un et je retour un (il à mis le un retourné à côté de huit de la dizaine), puis douze moins sept est égale à cinq. Zéro moins huit, je ne peux pas, j'emprents un et je retourne un (il a mis le un retourné à côté de un de la centaine), donc dix moins huit est égale à deux, après quatre moins deux est égale à un"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</si>
</sst>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3" borderId="1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9" fontId="0" fillId="0" borderId="1" xfId="1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7" borderId="1" xfId="0" applyFill="1" applyBorder="1"/>
    <xf numFmtId="0" fontId="0" fillId="7" borderId="4" xfId="0" applyFill="1" applyBorder="1" applyAlignment="1">
      <alignment horizontal="center" vertical="center" wrapText="1"/>
    </xf>
    <xf numFmtId="0" fontId="0" fillId="7" borderId="5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8" borderId="4" xfId="0" applyFill="1" applyBorder="1" applyAlignment="1">
      <alignment horizontal="center" vertical="center" wrapText="1"/>
    </xf>
    <xf numFmtId="0" fontId="0" fillId="8" borderId="5" xfId="0" applyFill="1" applyBorder="1" applyAlignment="1">
      <alignment horizontal="center" vertical="center" wrapText="1"/>
    </xf>
    <xf numFmtId="0" fontId="0" fillId="8" borderId="6" xfId="0" applyFill="1" applyBorder="1" applyAlignment="1">
      <alignment horizontal="center" vertical="center" wrapText="1"/>
    </xf>
    <xf numFmtId="0" fontId="0" fillId="8" borderId="1" xfId="0" applyFill="1" applyBorder="1"/>
    <xf numFmtId="0" fontId="0" fillId="7" borderId="1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0" fontId="0" fillId="0" borderId="0" xfId="0" applyAlignment="1">
      <alignment vertical="center"/>
    </xf>
    <xf numFmtId="0" fontId="2" fillId="0" borderId="1" xfId="0" applyFont="1" applyBorder="1" applyAlignment="1">
      <alignment horizontal="left" vertical="center" wrapText="1"/>
    </xf>
    <xf numFmtId="0" fontId="0" fillId="0" borderId="0" xfId="0" applyAlignment="1">
      <alignment wrapText="1"/>
    </xf>
  </cellXfs>
  <cellStyles count="2">
    <cellStyle name="Normal" xfId="0" builtinId="0"/>
    <cellStyle name="Pourcentag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E3344-10A8-47A5-AD76-694B582C88C1}">
  <dimension ref="A1:E6"/>
  <sheetViews>
    <sheetView topLeftCell="A4" workbookViewId="0">
      <selection activeCell="D22" sqref="C22:D26"/>
    </sheetView>
  </sheetViews>
  <sheetFormatPr baseColWidth="10" defaultColWidth="8.88671875" defaultRowHeight="14.4" x14ac:dyDescent="0.3"/>
  <cols>
    <col min="1" max="5" width="26.44140625" style="1" customWidth="1"/>
  </cols>
  <sheetData>
    <row r="1" spans="1:5" s="7" customFormat="1" ht="30.6" customHeight="1" x14ac:dyDescent="0.35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</row>
    <row r="2" spans="1:5" ht="30.6" customHeight="1" x14ac:dyDescent="0.3">
      <c r="A2" s="5" t="s">
        <v>5</v>
      </c>
      <c r="B2" s="2" t="s">
        <v>6</v>
      </c>
      <c r="C2" s="2">
        <v>0</v>
      </c>
      <c r="D2" s="2">
        <v>0</v>
      </c>
      <c r="E2" s="2">
        <v>1</v>
      </c>
    </row>
    <row r="3" spans="1:5" ht="36.6" customHeight="1" x14ac:dyDescent="0.3">
      <c r="A3" s="5" t="s">
        <v>7</v>
      </c>
      <c r="B3" s="2" t="s">
        <v>8</v>
      </c>
      <c r="C3" s="2">
        <v>0</v>
      </c>
      <c r="D3" s="2">
        <v>0</v>
      </c>
      <c r="E3" s="2">
        <v>1</v>
      </c>
    </row>
    <row r="4" spans="1:5" ht="30.6" customHeight="1" x14ac:dyDescent="0.3">
      <c r="A4" s="5" t="s">
        <v>9</v>
      </c>
      <c r="B4" s="2" t="s">
        <v>10</v>
      </c>
      <c r="C4" s="2">
        <v>0</v>
      </c>
      <c r="D4" s="2">
        <v>1</v>
      </c>
      <c r="E4" s="2">
        <v>0</v>
      </c>
    </row>
    <row r="5" spans="1:5" ht="35.4" customHeight="1" x14ac:dyDescent="0.3">
      <c r="A5" s="5" t="s">
        <v>11</v>
      </c>
      <c r="B5" s="2" t="s">
        <v>12</v>
      </c>
      <c r="C5" s="2">
        <v>0</v>
      </c>
      <c r="D5" s="2">
        <v>1</v>
      </c>
      <c r="E5" s="2">
        <v>0</v>
      </c>
    </row>
    <row r="6" spans="1:5" ht="30.6" customHeight="1" x14ac:dyDescent="0.3">
      <c r="A6" s="5" t="s">
        <v>13</v>
      </c>
      <c r="B6" s="2" t="s">
        <v>14</v>
      </c>
      <c r="C6" s="2">
        <v>0</v>
      </c>
      <c r="D6" s="2">
        <v>0</v>
      </c>
      <c r="E6" s="2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73A7D-A3A5-4E0C-A5E4-545341D4F0BE}">
  <dimension ref="A1:AB10"/>
  <sheetViews>
    <sheetView workbookViewId="0">
      <selection activeCell="I14" sqref="I14"/>
    </sheetView>
  </sheetViews>
  <sheetFormatPr baseColWidth="10" defaultRowHeight="14.4" x14ac:dyDescent="0.3"/>
  <sheetData>
    <row r="1" spans="1:28" x14ac:dyDescent="0.3">
      <c r="A1" s="18" t="s">
        <v>29</v>
      </c>
      <c r="B1" s="12" t="s">
        <v>31</v>
      </c>
      <c r="C1" s="16" t="s">
        <v>45</v>
      </c>
      <c r="D1" s="12" t="s">
        <v>30</v>
      </c>
      <c r="E1" s="14" t="s">
        <v>56</v>
      </c>
      <c r="F1" s="14"/>
      <c r="G1" s="14"/>
      <c r="H1" s="14" t="s">
        <v>57</v>
      </c>
      <c r="I1" s="14"/>
      <c r="J1" s="14"/>
      <c r="K1" s="15" t="s">
        <v>38</v>
      </c>
      <c r="L1" s="15"/>
      <c r="M1" s="15"/>
      <c r="N1" s="15"/>
      <c r="O1" s="15"/>
      <c r="P1" s="15"/>
      <c r="Q1" s="28" t="s">
        <v>72</v>
      </c>
      <c r="R1" s="29"/>
      <c r="S1" s="29"/>
      <c r="T1" s="29"/>
      <c r="U1" s="29"/>
      <c r="V1" s="29"/>
      <c r="W1" s="29"/>
      <c r="X1" s="29"/>
      <c r="Y1" s="29"/>
      <c r="Z1" s="29"/>
      <c r="AA1" s="29"/>
      <c r="AB1" s="30"/>
    </row>
    <row r="2" spans="1:28" ht="57.6" x14ac:dyDescent="0.3">
      <c r="A2" s="18"/>
      <c r="B2" s="12"/>
      <c r="C2" s="17"/>
      <c r="D2" s="12"/>
      <c r="E2" s="11" t="s">
        <v>32</v>
      </c>
      <c r="F2" s="11" t="s">
        <v>33</v>
      </c>
      <c r="G2" s="11" t="s">
        <v>34</v>
      </c>
      <c r="H2" s="11" t="s">
        <v>35</v>
      </c>
      <c r="I2" s="11" t="s">
        <v>36</v>
      </c>
      <c r="J2" s="11" t="s">
        <v>37</v>
      </c>
      <c r="K2" s="13" t="s">
        <v>39</v>
      </c>
      <c r="L2" s="13" t="s">
        <v>40</v>
      </c>
      <c r="M2" s="13" t="s">
        <v>41</v>
      </c>
      <c r="N2" s="13" t="s">
        <v>42</v>
      </c>
      <c r="O2" s="13" t="s">
        <v>43</v>
      </c>
      <c r="P2" s="13" t="s">
        <v>44</v>
      </c>
      <c r="Q2" s="25" t="s">
        <v>17</v>
      </c>
      <c r="R2" s="26"/>
      <c r="S2" s="26"/>
      <c r="T2" s="26"/>
      <c r="U2" s="26"/>
      <c r="V2" s="27"/>
      <c r="W2" s="31" t="s">
        <v>18</v>
      </c>
      <c r="X2" s="32"/>
      <c r="Y2" s="32"/>
      <c r="Z2" s="32"/>
      <c r="AA2" s="32"/>
      <c r="AB2" s="33"/>
    </row>
    <row r="3" spans="1:28" s="40" customFormat="1" x14ac:dyDescent="0.3">
      <c r="A3" s="36" t="s">
        <v>74</v>
      </c>
      <c r="B3" s="36" t="s">
        <v>46</v>
      </c>
      <c r="C3" s="36" t="s">
        <v>49</v>
      </c>
      <c r="D3" s="36" t="s">
        <v>51</v>
      </c>
      <c r="E3" s="37">
        <v>0</v>
      </c>
      <c r="F3" s="37">
        <v>0</v>
      </c>
      <c r="G3" s="37">
        <v>0</v>
      </c>
      <c r="H3" s="37">
        <v>5</v>
      </c>
      <c r="I3" s="37">
        <v>7</v>
      </c>
      <c r="J3" s="37">
        <v>5</v>
      </c>
      <c r="K3" s="38">
        <f>IF(E3=35,1,0)</f>
        <v>0</v>
      </c>
      <c r="L3" s="38">
        <f>IF(F3=32,1,0)</f>
        <v>0</v>
      </c>
      <c r="M3" s="38">
        <f>IF(G3=213,1,0)</f>
        <v>0</v>
      </c>
      <c r="N3" s="38">
        <f>IF(H3=25,1,0)</f>
        <v>0</v>
      </c>
      <c r="O3" s="38">
        <f>IF(I3=33,1,0)</f>
        <v>0</v>
      </c>
      <c r="P3" s="38">
        <f>IF(J3=215,1,0)</f>
        <v>0</v>
      </c>
      <c r="Q3" s="35" t="s">
        <v>73</v>
      </c>
      <c r="R3" s="35" t="s">
        <v>73</v>
      </c>
      <c r="S3" s="35" t="s">
        <v>73</v>
      </c>
      <c r="T3" s="35" t="s">
        <v>73</v>
      </c>
      <c r="U3" s="35" t="s">
        <v>73</v>
      </c>
      <c r="V3" s="35" t="s">
        <v>73</v>
      </c>
      <c r="W3" s="39" t="s">
        <v>88</v>
      </c>
      <c r="X3" s="39" t="s">
        <v>88</v>
      </c>
      <c r="Y3" s="39" t="s">
        <v>88</v>
      </c>
      <c r="Z3" s="39" t="s">
        <v>89</v>
      </c>
      <c r="AA3" s="39" t="s">
        <v>89</v>
      </c>
      <c r="AB3" s="39" t="s">
        <v>88</v>
      </c>
    </row>
    <row r="4" spans="1:28" x14ac:dyDescent="0.3">
      <c r="A4" s="8" t="s">
        <v>75</v>
      </c>
      <c r="B4" s="8" t="s">
        <v>46</v>
      </c>
      <c r="C4" s="8" t="s">
        <v>50</v>
      </c>
      <c r="D4" s="8" t="s">
        <v>52</v>
      </c>
      <c r="E4" s="9">
        <v>35</v>
      </c>
      <c r="F4" s="9">
        <v>32</v>
      </c>
      <c r="G4" s="9">
        <v>213</v>
      </c>
      <c r="H4" s="9">
        <v>25</v>
      </c>
      <c r="I4" s="9">
        <v>43</v>
      </c>
      <c r="J4" s="9">
        <v>205</v>
      </c>
      <c r="K4" s="10">
        <f t="shared" ref="K4:K8" si="0">IF(E4=35,1,0)</f>
        <v>1</v>
      </c>
      <c r="L4" s="10">
        <f t="shared" ref="L4:L8" si="1">IF(F4=32,1,0)</f>
        <v>1</v>
      </c>
      <c r="M4" s="10">
        <f t="shared" ref="M4:M8" si="2">IF(G4=213,1,0)</f>
        <v>1</v>
      </c>
      <c r="N4" s="10">
        <f t="shared" ref="N4:N8" si="3">IF(H4=25,1,0)</f>
        <v>1</v>
      </c>
      <c r="O4" s="10">
        <f t="shared" ref="O4:O8" si="4">IF(I4=33,1,0)</f>
        <v>0</v>
      </c>
      <c r="P4" s="10">
        <f t="shared" ref="P4:P8" si="5">IF(J4=215,1,0)</f>
        <v>0</v>
      </c>
      <c r="Q4" s="35" t="s">
        <v>47</v>
      </c>
      <c r="R4" s="35" t="s">
        <v>47</v>
      </c>
      <c r="S4" s="35" t="s">
        <v>47</v>
      </c>
      <c r="T4" s="35" t="s">
        <v>47</v>
      </c>
      <c r="U4" s="24" t="s">
        <v>46</v>
      </c>
      <c r="V4" s="24" t="s">
        <v>46</v>
      </c>
      <c r="W4" s="34"/>
      <c r="X4" s="34"/>
      <c r="Y4" s="34"/>
      <c r="Z4" s="34"/>
      <c r="AA4" s="34" t="s">
        <v>89</v>
      </c>
      <c r="AB4" s="34" t="s">
        <v>89</v>
      </c>
    </row>
    <row r="5" spans="1:28" x14ac:dyDescent="0.3">
      <c r="A5" s="8" t="s">
        <v>76</v>
      </c>
      <c r="B5" s="8" t="s">
        <v>46</v>
      </c>
      <c r="C5" s="8" t="s">
        <v>50</v>
      </c>
      <c r="D5" s="8" t="s">
        <v>53</v>
      </c>
      <c r="E5" s="9">
        <v>35</v>
      </c>
      <c r="F5" s="9">
        <v>32</v>
      </c>
      <c r="G5" s="9">
        <v>213</v>
      </c>
      <c r="H5" s="9">
        <v>25</v>
      </c>
      <c r="I5" s="9">
        <v>33</v>
      </c>
      <c r="J5" s="9">
        <v>285</v>
      </c>
      <c r="K5" s="10">
        <f t="shared" si="0"/>
        <v>1</v>
      </c>
      <c r="L5" s="10">
        <f t="shared" si="1"/>
        <v>1</v>
      </c>
      <c r="M5" s="10">
        <f t="shared" si="2"/>
        <v>1</v>
      </c>
      <c r="N5" s="10">
        <f t="shared" si="3"/>
        <v>1</v>
      </c>
      <c r="O5" s="10">
        <f t="shared" si="4"/>
        <v>1</v>
      </c>
      <c r="P5" s="10">
        <f t="shared" si="5"/>
        <v>0</v>
      </c>
      <c r="Q5" s="35" t="s">
        <v>47</v>
      </c>
      <c r="R5" s="35" t="s">
        <v>47</v>
      </c>
      <c r="S5" s="35" t="s">
        <v>47</v>
      </c>
      <c r="T5" s="24" t="s">
        <v>47</v>
      </c>
      <c r="U5" s="24" t="s">
        <v>47</v>
      </c>
      <c r="V5" s="24" t="s">
        <v>46</v>
      </c>
      <c r="W5" s="34"/>
      <c r="X5" s="34"/>
      <c r="Y5" s="34"/>
      <c r="Z5" s="34"/>
      <c r="AA5" s="34"/>
      <c r="AB5" s="34" t="s">
        <v>89</v>
      </c>
    </row>
    <row r="6" spans="1:28" x14ac:dyDescent="0.3">
      <c r="A6" s="8" t="s">
        <v>77</v>
      </c>
      <c r="B6" s="8" t="s">
        <v>46</v>
      </c>
      <c r="C6" s="8" t="s">
        <v>49</v>
      </c>
      <c r="D6" s="8" t="s">
        <v>51</v>
      </c>
      <c r="E6" s="9">
        <v>30</v>
      </c>
      <c r="F6" s="9">
        <v>32</v>
      </c>
      <c r="G6" s="9">
        <v>213</v>
      </c>
      <c r="H6" s="9">
        <v>35</v>
      </c>
      <c r="I6" s="9">
        <v>47</v>
      </c>
      <c r="J6" s="9">
        <v>305</v>
      </c>
      <c r="K6" s="10">
        <f t="shared" si="0"/>
        <v>0</v>
      </c>
      <c r="L6" s="10">
        <f t="shared" si="1"/>
        <v>1</v>
      </c>
      <c r="M6" s="10">
        <f t="shared" si="2"/>
        <v>1</v>
      </c>
      <c r="N6" s="10">
        <f t="shared" si="3"/>
        <v>0</v>
      </c>
      <c r="O6" s="10">
        <f t="shared" si="4"/>
        <v>0</v>
      </c>
      <c r="P6" s="10">
        <f t="shared" si="5"/>
        <v>0</v>
      </c>
      <c r="Q6" s="35" t="s">
        <v>48</v>
      </c>
      <c r="R6" s="35" t="s">
        <v>47</v>
      </c>
      <c r="S6" s="35" t="s">
        <v>47</v>
      </c>
      <c r="T6" s="24" t="s">
        <v>46</v>
      </c>
      <c r="U6" s="24" t="s">
        <v>46</v>
      </c>
      <c r="V6" s="24" t="s">
        <v>46</v>
      </c>
      <c r="W6" s="34" t="s">
        <v>88</v>
      </c>
      <c r="X6" s="34"/>
      <c r="Y6" s="34"/>
      <c r="Z6" s="34" t="s">
        <v>89</v>
      </c>
      <c r="AA6" s="34" t="s">
        <v>89</v>
      </c>
      <c r="AB6" s="34" t="s">
        <v>89</v>
      </c>
    </row>
    <row r="7" spans="1:28" x14ac:dyDescent="0.3">
      <c r="A7" s="8" t="s">
        <v>78</v>
      </c>
      <c r="B7" s="8" t="s">
        <v>46</v>
      </c>
      <c r="C7" s="8" t="s">
        <v>50</v>
      </c>
      <c r="D7" s="8" t="s">
        <v>54</v>
      </c>
      <c r="E7" s="9">
        <v>315</v>
      </c>
      <c r="F7" s="9">
        <v>32</v>
      </c>
      <c r="G7" s="9">
        <v>213</v>
      </c>
      <c r="H7" s="9">
        <v>35</v>
      </c>
      <c r="I7" s="9">
        <v>143</v>
      </c>
      <c r="J7" s="9">
        <v>335</v>
      </c>
      <c r="K7" s="10">
        <f t="shared" si="0"/>
        <v>0</v>
      </c>
      <c r="L7" s="10">
        <f t="shared" si="1"/>
        <v>1</v>
      </c>
      <c r="M7" s="10">
        <f t="shared" si="2"/>
        <v>1</v>
      </c>
      <c r="N7" s="10">
        <f t="shared" si="3"/>
        <v>0</v>
      </c>
      <c r="O7" s="10">
        <f t="shared" si="4"/>
        <v>0</v>
      </c>
      <c r="P7" s="10">
        <f t="shared" si="5"/>
        <v>0</v>
      </c>
      <c r="Q7" s="35" t="s">
        <v>48</v>
      </c>
      <c r="R7" s="35" t="s">
        <v>47</v>
      </c>
      <c r="S7" s="35" t="s">
        <v>47</v>
      </c>
      <c r="T7" s="24" t="s">
        <v>46</v>
      </c>
      <c r="U7" s="24" t="s">
        <v>46</v>
      </c>
      <c r="V7" s="24" t="s">
        <v>46</v>
      </c>
      <c r="W7" s="34" t="s">
        <v>88</v>
      </c>
      <c r="X7" s="34"/>
      <c r="Y7" s="34"/>
      <c r="Z7" s="34" t="s">
        <v>89</v>
      </c>
      <c r="AA7" s="34" t="s">
        <v>89</v>
      </c>
      <c r="AB7" s="34" t="s">
        <v>89</v>
      </c>
    </row>
    <row r="8" spans="1:28" x14ac:dyDescent="0.3">
      <c r="A8" s="8" t="s">
        <v>79</v>
      </c>
      <c r="B8" s="8" t="s">
        <v>46</v>
      </c>
      <c r="C8" s="8" t="s">
        <v>49</v>
      </c>
      <c r="D8" s="8" t="s">
        <v>54</v>
      </c>
      <c r="E8" s="9">
        <v>35</v>
      </c>
      <c r="F8" s="9">
        <v>32</v>
      </c>
      <c r="G8" s="9">
        <v>213</v>
      </c>
      <c r="H8" s="9">
        <v>25</v>
      </c>
      <c r="I8" s="9">
        <v>33</v>
      </c>
      <c r="J8" s="9">
        <v>125</v>
      </c>
      <c r="K8" s="10">
        <f>IF(E8=35,1,0)</f>
        <v>1</v>
      </c>
      <c r="L8" s="10">
        <f t="shared" si="1"/>
        <v>1</v>
      </c>
      <c r="M8" s="10">
        <f t="shared" si="2"/>
        <v>1</v>
      </c>
      <c r="N8" s="10">
        <f t="shared" si="3"/>
        <v>1</v>
      </c>
      <c r="O8" s="10">
        <f t="shared" si="4"/>
        <v>1</v>
      </c>
      <c r="P8" s="10">
        <f t="shared" si="5"/>
        <v>0</v>
      </c>
      <c r="Q8" s="35" t="s">
        <v>47</v>
      </c>
      <c r="R8" s="35" t="s">
        <v>47</v>
      </c>
      <c r="S8" s="35" t="s">
        <v>47</v>
      </c>
      <c r="T8" s="24" t="s">
        <v>47</v>
      </c>
      <c r="U8" s="24" t="s">
        <v>47</v>
      </c>
      <c r="V8" s="24" t="s">
        <v>46</v>
      </c>
      <c r="W8" s="34"/>
      <c r="X8" s="34"/>
      <c r="Y8" s="34"/>
      <c r="Z8" s="34"/>
      <c r="AA8" s="34"/>
      <c r="AB8" s="34" t="s">
        <v>89</v>
      </c>
    </row>
    <row r="9" spans="1:28" x14ac:dyDescent="0.3">
      <c r="A9" s="19" t="s">
        <v>55</v>
      </c>
      <c r="B9" s="19"/>
      <c r="C9" s="19"/>
      <c r="D9" s="19"/>
      <c r="E9" s="19"/>
      <c r="F9" s="19"/>
      <c r="G9" s="19"/>
      <c r="H9" s="19"/>
      <c r="I9" s="19"/>
      <c r="J9" s="19"/>
      <c r="K9" s="3">
        <f>SUM(K3:K8)</f>
        <v>3</v>
      </c>
      <c r="L9" s="3">
        <f t="shared" ref="L9:P9" si="6">SUM(L3:L8)</f>
        <v>5</v>
      </c>
      <c r="M9" s="3">
        <f t="shared" si="6"/>
        <v>5</v>
      </c>
      <c r="N9" s="3">
        <f t="shared" si="6"/>
        <v>3</v>
      </c>
      <c r="O9" s="3">
        <f t="shared" si="6"/>
        <v>2</v>
      </c>
      <c r="P9" s="3">
        <f t="shared" si="6"/>
        <v>0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</row>
    <row r="10" spans="1:28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20">
        <f>K9/6</f>
        <v>0.5</v>
      </c>
      <c r="L10" s="20">
        <f t="shared" ref="L10:P10" si="7">L9/6</f>
        <v>0.83333333333333337</v>
      </c>
      <c r="M10" s="20">
        <f t="shared" si="7"/>
        <v>0.83333333333333337</v>
      </c>
      <c r="N10" s="20">
        <f t="shared" si="7"/>
        <v>0.5</v>
      </c>
      <c r="O10" s="20">
        <f t="shared" si="7"/>
        <v>0.33333333333333331</v>
      </c>
      <c r="P10" s="20">
        <f t="shared" si="7"/>
        <v>0</v>
      </c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</row>
  </sheetData>
  <mergeCells count="11">
    <mergeCell ref="A9:J10"/>
    <mergeCell ref="Q2:V2"/>
    <mergeCell ref="W2:AB2"/>
    <mergeCell ref="Q1:AB1"/>
    <mergeCell ref="E1:G1"/>
    <mergeCell ref="H1:J1"/>
    <mergeCell ref="K1:P1"/>
    <mergeCell ref="D1:D2"/>
    <mergeCell ref="B1:B2"/>
    <mergeCell ref="A1:A2"/>
    <mergeCell ref="C1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tabSelected="1" zoomScale="80" zoomScaleNormal="80" workbookViewId="0">
      <selection activeCell="H8" sqref="H8"/>
    </sheetView>
  </sheetViews>
  <sheetFormatPr baseColWidth="10" defaultColWidth="8.88671875" defaultRowHeight="14.4" x14ac:dyDescent="0.3"/>
  <cols>
    <col min="1" max="1" width="11.21875" customWidth="1"/>
    <col min="2" max="2" width="15.6640625" customWidth="1"/>
    <col min="3" max="3" width="65.21875" style="42" customWidth="1"/>
    <col min="4" max="4" width="29.88671875" customWidth="1"/>
    <col min="5" max="5" width="23.33203125" customWidth="1"/>
  </cols>
  <sheetData>
    <row r="1" spans="1:4" ht="31.2" x14ac:dyDescent="0.3">
      <c r="A1" s="41" t="s">
        <v>15</v>
      </c>
      <c r="B1" s="41" t="s">
        <v>16</v>
      </c>
      <c r="C1" s="41" t="s">
        <v>19</v>
      </c>
      <c r="D1" s="41" t="s">
        <v>28</v>
      </c>
    </row>
    <row r="2" spans="1:4" ht="45" customHeight="1" x14ac:dyDescent="0.3">
      <c r="A2" s="21" t="s">
        <v>74</v>
      </c>
      <c r="B2" s="21" t="s">
        <v>80</v>
      </c>
      <c r="C2" s="23" t="s">
        <v>83</v>
      </c>
      <c r="D2" s="23" t="s">
        <v>87</v>
      </c>
    </row>
    <row r="3" spans="1:4" s="22" customFormat="1" ht="42" customHeight="1" x14ac:dyDescent="0.3">
      <c r="A3" s="21" t="s">
        <v>75</v>
      </c>
      <c r="B3" s="21" t="s">
        <v>82</v>
      </c>
      <c r="C3" s="23" t="s">
        <v>84</v>
      </c>
      <c r="D3" s="21"/>
    </row>
    <row r="4" spans="1:4" s="22" customFormat="1" ht="66" customHeight="1" x14ac:dyDescent="0.3">
      <c r="A4" s="21" t="s">
        <v>75</v>
      </c>
      <c r="B4" s="21" t="s">
        <v>85</v>
      </c>
      <c r="C4" s="23" t="s">
        <v>86</v>
      </c>
      <c r="D4" s="23" t="s">
        <v>90</v>
      </c>
    </row>
    <row r="5" spans="1:4" s="22" customFormat="1" ht="57.6" customHeight="1" x14ac:dyDescent="0.3">
      <c r="A5" s="21" t="s">
        <v>76</v>
      </c>
      <c r="B5" s="21" t="s">
        <v>91</v>
      </c>
      <c r="C5" s="23" t="s">
        <v>92</v>
      </c>
      <c r="D5" s="21"/>
    </row>
    <row r="6" spans="1:4" s="22" customFormat="1" ht="40.200000000000003" customHeight="1" x14ac:dyDescent="0.3">
      <c r="A6" s="21" t="s">
        <v>77</v>
      </c>
      <c r="B6" s="21" t="s">
        <v>81</v>
      </c>
      <c r="C6" s="23" t="s">
        <v>94</v>
      </c>
      <c r="D6" s="23" t="s">
        <v>95</v>
      </c>
    </row>
    <row r="7" spans="1:4" s="22" customFormat="1" ht="34.200000000000003" customHeight="1" x14ac:dyDescent="0.3">
      <c r="A7" s="21" t="s">
        <v>77</v>
      </c>
      <c r="B7" s="21" t="s">
        <v>93</v>
      </c>
      <c r="C7" s="23" t="s">
        <v>96</v>
      </c>
      <c r="D7" s="21"/>
    </row>
    <row r="8" spans="1:4" s="22" customFormat="1" ht="57" customHeight="1" x14ac:dyDescent="0.3">
      <c r="A8" s="21" t="s">
        <v>78</v>
      </c>
      <c r="B8" s="21" t="s">
        <v>97</v>
      </c>
      <c r="C8" s="23" t="s">
        <v>98</v>
      </c>
      <c r="D8" s="21"/>
    </row>
    <row r="9" spans="1:4" s="22" customFormat="1" ht="80.400000000000006" customHeight="1" x14ac:dyDescent="0.3">
      <c r="A9" s="21" t="s">
        <v>79</v>
      </c>
      <c r="B9" s="21" t="s">
        <v>99</v>
      </c>
      <c r="C9" s="23" t="s">
        <v>100</v>
      </c>
      <c r="D9" s="23"/>
    </row>
  </sheetData>
  <pageMargins left="0.75" right="0.75" top="1" bottom="1" header="0.5" footer="0.5"/>
  <pageSetup paperSize="9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"/>
  <sheetViews>
    <sheetView zoomScale="80" zoomScaleNormal="80" workbookViewId="0">
      <selection activeCell="I3" sqref="I3"/>
    </sheetView>
  </sheetViews>
  <sheetFormatPr baseColWidth="10" defaultColWidth="8.88671875" defaultRowHeight="14.4" x14ac:dyDescent="0.3"/>
  <cols>
    <col min="1" max="1" width="15.5546875" customWidth="1"/>
    <col min="2" max="2" width="16.21875" customWidth="1"/>
    <col min="3" max="8" width="23.109375" customWidth="1"/>
    <col min="9" max="9" width="22.88671875" customWidth="1"/>
  </cols>
  <sheetData>
    <row r="1" spans="1:8" ht="24.6" customHeight="1" x14ac:dyDescent="0.3">
      <c r="A1" s="4" t="s">
        <v>20</v>
      </c>
      <c r="B1" s="4" t="s">
        <v>21</v>
      </c>
      <c r="C1" s="4" t="s">
        <v>22</v>
      </c>
      <c r="D1" s="4" t="s">
        <v>23</v>
      </c>
      <c r="E1" s="4" t="s">
        <v>24</v>
      </c>
      <c r="F1" s="4" t="s">
        <v>25</v>
      </c>
      <c r="G1" s="4" t="s">
        <v>26</v>
      </c>
      <c r="H1" s="4" t="s">
        <v>27</v>
      </c>
    </row>
    <row r="2" spans="1:8" s="22" customFormat="1" ht="60" customHeight="1" x14ac:dyDescent="0.3">
      <c r="A2" s="21" t="s">
        <v>58</v>
      </c>
      <c r="B2" s="21" t="s">
        <v>60</v>
      </c>
      <c r="C2" s="23" t="s">
        <v>61</v>
      </c>
      <c r="D2" s="23" t="s">
        <v>62</v>
      </c>
      <c r="E2" s="23" t="s">
        <v>63</v>
      </c>
      <c r="F2" s="21" t="s">
        <v>64</v>
      </c>
      <c r="G2" s="21" t="s">
        <v>65</v>
      </c>
      <c r="H2" s="23" t="s">
        <v>66</v>
      </c>
    </row>
    <row r="3" spans="1:8" s="22" customFormat="1" ht="73.8" customHeight="1" x14ac:dyDescent="0.3">
      <c r="A3" s="21" t="s">
        <v>59</v>
      </c>
      <c r="B3" s="21" t="s">
        <v>60</v>
      </c>
      <c r="C3" s="23" t="s">
        <v>67</v>
      </c>
      <c r="D3" s="23" t="s">
        <v>68</v>
      </c>
      <c r="E3" s="23" t="s">
        <v>69</v>
      </c>
      <c r="F3" s="23" t="s">
        <v>70</v>
      </c>
      <c r="G3" s="21" t="s">
        <v>65</v>
      </c>
      <c r="H3" s="23" t="s">
        <v>71</v>
      </c>
    </row>
    <row r="4" spans="1:8" s="22" customFormat="1" x14ac:dyDescent="0.3"/>
  </sheetData>
  <pageMargins left="0.75" right="0.75" top="1" bottom="1" header="0.5" footer="0.5"/>
  <pageSetup paperSize="9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Observation_TaRL</vt:lpstr>
      <vt:lpstr>Résultats_des_élèves</vt:lpstr>
      <vt:lpstr>Entretien_Eleve</vt:lpstr>
      <vt:lpstr>Entretien_Enseignant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TOSHIBA</cp:lastModifiedBy>
  <cp:lastPrinted>2026-02-05T05:55:25Z</cp:lastPrinted>
  <dcterms:created xsi:type="dcterms:W3CDTF">2026-02-03T10:56:43Z</dcterms:created>
  <dcterms:modified xsi:type="dcterms:W3CDTF">2026-02-17T13:17:04Z</dcterms:modified>
</cp:coreProperties>
</file>